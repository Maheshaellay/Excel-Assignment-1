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taset" sheetId="2" r:id="rId6"/>
  </sheets>
  <definedNames/>
  <calcPr/>
</workbook>
</file>

<file path=xl/sharedStrings.xml><?xml version="1.0" encoding="utf-8"?>
<sst xmlns="http://schemas.openxmlformats.org/spreadsheetml/2006/main" count="269" uniqueCount="168">
  <si>
    <t>Perform the following in the dataset from the 'Dataset' sheet.</t>
  </si>
  <si>
    <t>1) Sum, Count, Average:</t>
  </si>
  <si>
    <t>Product ID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</si>
  <si>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</si>
  <si>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</si>
  <si>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</si>
  <si>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</si>
  <si>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</si>
  <si>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</si>
  <si>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</si>
  <si>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</si>
  <si>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</si>
  <si>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</si>
  <si>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</si>
  <si>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Product Name</t>
  </si>
  <si>
    <t>5) Text Formatting - LEFT, RIGHT, MID:</t>
  </si>
  <si>
    <t>Brand Name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</si>
  <si>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</si>
  <si>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</si>
  <si>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Price ($)</t>
  </si>
  <si>
    <t>• Create a new column named Month by extracting 4th to 6th characters from the 'Product ID' column using the MID function.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</si>
  <si>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</si>
  <si>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</si>
  <si>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</si>
  <si>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</si>
  <si>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</si>
  <si>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</si>
  <si>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</si>
  <si>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</si>
  <si>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</si>
  <si>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</si>
  <si>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</si>
  <si>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</si>
  <si>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</si>
  <si>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</si>
  <si>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15</t>
  </si>
  <si>
    <t>US</t>
  </si>
  <si>
    <t>FEB</t>
  </si>
  <si>
    <t>03-MAR-US</t>
  </si>
  <si>
    <t>Coffee Maker</t>
  </si>
  <si>
    <t>Keurig</t>
  </si>
  <si>
    <t>Kitchen</t>
  </si>
  <si>
    <t>SUM TOTAL PRICE</t>
  </si>
  <si>
    <t>03</t>
  </si>
  <si>
    <t>MAR</t>
  </si>
  <si>
    <t>11-APR-US</t>
  </si>
  <si>
    <t>Smartphone</t>
  </si>
  <si>
    <t>Samsung</t>
  </si>
  <si>
    <t>11</t>
  </si>
  <si>
    <t>APR</t>
  </si>
  <si>
    <t>22-MAY-US</t>
  </si>
  <si>
    <t>Backpack</t>
  </si>
  <si>
    <t>North Face</t>
  </si>
  <si>
    <t>Outdoor</t>
  </si>
  <si>
    <t>COUNT PRODUCTS</t>
  </si>
  <si>
    <t>22</t>
  </si>
  <si>
    <t>MAY</t>
  </si>
  <si>
    <t>07-JUN-UK</t>
  </si>
  <si>
    <t>Headphones</t>
  </si>
  <si>
    <t>Sony</t>
  </si>
  <si>
    <t>07</t>
  </si>
  <si>
    <t>UK</t>
  </si>
  <si>
    <t>JUN</t>
  </si>
  <si>
    <t>19-JUL-UK</t>
  </si>
  <si>
    <t>T-shirt</t>
  </si>
  <si>
    <t>Adidas</t>
  </si>
  <si>
    <t>AVERAGE PRICE</t>
  </si>
  <si>
    <t>19</t>
  </si>
  <si>
    <t>JUL</t>
  </si>
  <si>
    <t>23-AUG-UK</t>
  </si>
  <si>
    <t>Blender</t>
  </si>
  <si>
    <t>Ninja</t>
  </si>
  <si>
    <t>23</t>
  </si>
  <si>
    <t>AUG</t>
  </si>
  <si>
    <t>05-SEP-UK</t>
  </si>
  <si>
    <t>Tablet</t>
  </si>
  <si>
    <t>Apple</t>
  </si>
  <si>
    <t>MINIMUM PRICE</t>
  </si>
  <si>
    <t>05</t>
  </si>
  <si>
    <t>SEP</t>
  </si>
  <si>
    <t>14-OCT-UK</t>
  </si>
  <si>
    <t>Hiking Boots</t>
  </si>
  <si>
    <t>Timberland</t>
  </si>
  <si>
    <t>14</t>
  </si>
  <si>
    <t>OCT</t>
  </si>
  <si>
    <t>17-JUN-IN</t>
  </si>
  <si>
    <t>HP</t>
  </si>
  <si>
    <t>MAXIMUM PRICE</t>
  </si>
  <si>
    <t>17</t>
  </si>
  <si>
    <t>IN</t>
  </si>
  <si>
    <t>25-NOV-AU</t>
  </si>
  <si>
    <t>25</t>
  </si>
  <si>
    <t>AU</t>
  </si>
  <si>
    <t>NOV</t>
  </si>
  <si>
    <t>08-DEC-DE</t>
  </si>
  <si>
    <t>Nespresso</t>
  </si>
  <si>
    <t>SUMIF</t>
  </si>
  <si>
    <t>08</t>
  </si>
  <si>
    <t>DE</t>
  </si>
  <si>
    <t>DEC</t>
  </si>
  <si>
    <t>18-FEB-CA</t>
  </si>
  <si>
    <t>Smartwatch</t>
  </si>
  <si>
    <t>Fitbit</t>
  </si>
  <si>
    <t>18</t>
  </si>
  <si>
    <t>CA</t>
  </si>
  <si>
    <t>16-APR-ES</t>
  </si>
  <si>
    <t>Bose</t>
  </si>
  <si>
    <t>16</t>
  </si>
  <si>
    <t>ES</t>
  </si>
  <si>
    <t>21-AUG-CA</t>
  </si>
  <si>
    <t>Laptop Bag</t>
  </si>
  <si>
    <t>Samsonite</t>
  </si>
  <si>
    <t>Accessories</t>
  </si>
  <si>
    <t>21</t>
  </si>
  <si>
    <t>20-AUG-CN</t>
  </si>
  <si>
    <t>Huawei</t>
  </si>
  <si>
    <t>20</t>
  </si>
  <si>
    <t>CN</t>
  </si>
  <si>
    <t>27-JAN-IT</t>
  </si>
  <si>
    <t>Asus</t>
  </si>
  <si>
    <t>27</t>
  </si>
  <si>
    <t>IT</t>
  </si>
  <si>
    <t>JAN</t>
  </si>
  <si>
    <t>01-MAR-UK</t>
  </si>
  <si>
    <t>Sunglasses</t>
  </si>
  <si>
    <t>Oakley</t>
  </si>
  <si>
    <t>01</t>
  </si>
  <si>
    <t>14-AUG-US</t>
  </si>
  <si>
    <t>Camping Tent</t>
  </si>
  <si>
    <t>Coleman</t>
  </si>
  <si>
    <t>14-MAY-RU</t>
  </si>
  <si>
    <t>Camera</t>
  </si>
  <si>
    <t>Nikon</t>
  </si>
  <si>
    <t>RU</t>
  </si>
  <si>
    <t>09-JAN-CA</t>
  </si>
  <si>
    <t>Microwave</t>
  </si>
  <si>
    <t>Panasonic</t>
  </si>
  <si>
    <t>09</t>
  </si>
  <si>
    <t>19-JUL-BR</t>
  </si>
  <si>
    <t>Fitness Tracker</t>
  </si>
  <si>
    <t>Xiaomi</t>
  </si>
  <si>
    <t>BR</t>
  </si>
  <si>
    <t>29-SEP-CA</t>
  </si>
  <si>
    <t>Google</t>
  </si>
  <si>
    <t>29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</si>
  <si>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</si>
  <si>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</si>
  <si>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</si>
  <si>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</si>
  <si>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</si>
  <si>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</si>
  <si>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</si>
  <si>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</si>
  <si>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</si>
  <si>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</si>
  <si>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13</t>
  </si>
  <si>
    <t>24-MAY-CA</t>
  </si>
  <si>
    <t>Garmin</t>
  </si>
  <si>
    <t>24</t>
  </si>
  <si>
    <t>02-DEC-CA</t>
  </si>
  <si>
    <t>Jeans</t>
  </si>
  <si>
    <t>Levi's</t>
  </si>
  <si>
    <t>02</t>
  </si>
  <si>
    <t>09-JUL-FR</t>
  </si>
  <si>
    <t>Watch</t>
  </si>
  <si>
    <t>Casio</t>
  </si>
  <si>
    <t>FR</t>
  </si>
  <si>
    <t>Countif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</si>
</sst>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10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00"/>
        <bgColor rgb="FFFFFF00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/>
    </xf>
    <xf borderId="1" fillId="3" fontId="6" numFmtId="0" xfId="0" applyBorder="1" applyFill="1" applyFont="1"/>
    <xf borderId="1" fillId="3" fontId="6" numFmtId="0" xfId="0" applyAlignment="1" applyBorder="1" applyFill="1" applyFont="1">
      <alignment horizontal="center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horizontal="right"/>
    </xf>
    <xf borderId="1" fillId="4" fontId="7" numFmtId="0" xfId="0" applyBorder="1" applyFill="1" applyFont="1"/>
    <xf borderId="0" fillId="0" fontId="9" numFmtId="164" xfId="0" applyFont="1" applyNumberFormat="1"/>
    <xf borderId="0" fillId="0" fontId="9" numFmtId="165" xfId="0" applyFont="1" applyNumberFormat="1"/>
    <xf borderId="1" fillId="5" fontId="7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7.38"/>
    <col customWidth="1" min="3" max="6" width="12.63"/>
  </cols>
  <sheetData>
    <row r="1" ht="15.75" customHeight="1">
      <c r="A1" s="1" t="s">
        <v>0</v>
      </c>
    </row>
    <row r="2" ht="15.75" customHeight="1"/>
    <row r="3" ht="15.75" customHeight="1">
      <c r="B3" s="2" t="s">
        <v>1</v>
      </c>
    </row>
    <row r="4" ht="15.75" customHeight="1">
      <c r="B4" s="2"/>
      <c r="C4" s="3" t="s">
        <v>3</v>
      </c>
    </row>
    <row r="5" ht="15.75" customHeight="1">
      <c r="B5" s="2"/>
      <c r="C5" s="3" t="s">
        <v>4</v>
      </c>
    </row>
    <row r="6" ht="15.75" customHeight="1">
      <c r="B6" s="2"/>
      <c r="C6" s="3" t="s">
        <v>5</v>
      </c>
    </row>
    <row r="7" ht="15.75" customHeight="1">
      <c r="B7" s="4"/>
    </row>
    <row r="8" ht="15.75" customHeight="1">
      <c r="B8" s="2" t="s">
        <v>6</v>
      </c>
    </row>
    <row r="9" ht="15.75" customHeight="1">
      <c r="C9" s="3" t="s">
        <v>7</v>
      </c>
    </row>
    <row r="10" ht="15.75" customHeight="1">
      <c r="C10" s="3" t="s">
        <v>8</v>
      </c>
    </row>
    <row r="11" ht="15.75" customHeight="1">
      <c r="B11" s="4"/>
    </row>
    <row r="12" ht="15.75" customHeight="1">
      <c r="B12" s="2" t="s">
        <v>9</v>
      </c>
    </row>
    <row r="13" ht="15.75" customHeight="1">
      <c r="C13" s="3" t="s">
        <v>10</v>
      </c>
    </row>
    <row r="14" ht="15.75" customHeight="1">
      <c r="B14" s="4"/>
    </row>
    <row r="15" ht="15.75" customHeight="1">
      <c r="B15" s="2" t="s">
        <v>11</v>
      </c>
    </row>
    <row r="16" ht="15.75" customHeight="1">
      <c r="C16" s="3" t="s">
        <v>12</v>
      </c>
    </row>
    <row r="17" ht="15.75" customHeight="1">
      <c r="C17" s="3" t="s">
        <v>13</v>
      </c>
    </row>
    <row r="18" ht="15.75" customHeight="1">
      <c r="B18" s="4"/>
    </row>
    <row r="19" ht="15.75" customHeight="1">
      <c r="B19" s="2" t="s">
        <v>15</v>
      </c>
    </row>
    <row r="20" ht="15.75" customHeight="1">
      <c r="C20" s="3" t="s">
        <v>17</v>
      </c>
    </row>
    <row r="21" ht="15.75" customHeight="1">
      <c r="C21" s="3" t="s">
        <v>18</v>
      </c>
    </row>
    <row r="22" ht="15.75" customHeight="1">
      <c r="C22" s="3" t="s">
        <v>20</v>
      </c>
    </row>
    <row r="23" ht="15.75" customHeight="1">
      <c r="B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13"/>
    <col customWidth="1" min="3" max="6" width="12.63"/>
    <col customWidth="1" min="7" max="7" width="13.75"/>
    <col customWidth="1" min="9" max="10" width="17.88"/>
    <col customWidth="1" min="11" max="11" width="13.38"/>
  </cols>
  <sheetData>
    <row r="1" ht="15.75" customHeight="1">
      <c r="A1" s="5" t="s">
        <v>2</v>
      </c>
      <c r="B1" s="5" t="s">
        <v>14</v>
      </c>
      <c r="C1" s="5" t="s">
        <v>16</v>
      </c>
      <c r="D1" s="5" t="s">
        <v>19</v>
      </c>
      <c r="E1" s="5" t="s">
        <v>21</v>
      </c>
      <c r="F1" s="5" t="s">
        <v>22</v>
      </c>
      <c r="G1" s="6" t="s">
        <v>23</v>
      </c>
      <c r="J1" s="7" t="s">
        <v>24</v>
      </c>
      <c r="K1" s="7" t="s">
        <v>25</v>
      </c>
      <c r="L1" s="7" t="s">
        <v>26</v>
      </c>
    </row>
    <row r="2" ht="15.75" customHeight="1">
      <c r="A2" s="8" t="s">
        <v>27</v>
      </c>
      <c r="B2" s="8" t="s">
        <v>28</v>
      </c>
      <c r="C2" s="8" t="s">
        <v>29</v>
      </c>
      <c r="D2" s="8">
        <v>1000.0</v>
      </c>
      <c r="E2" s="8">
        <v>30.0</v>
      </c>
      <c r="F2" s="8" t="s">
        <v>30</v>
      </c>
      <c r="G2" s="9" t="str">
        <f t="shared" ref="G2:G35" si="1">IF(D2&gt;=500,"High Price","Standard Price")</f>
        <v>High Price</v>
      </c>
      <c r="H2" s="8"/>
      <c r="J2" s="10" t="str">
        <f t="array" ref="J2:J35">LEFT(A2:A35,2)</f>
        <v>28</v>
      </c>
      <c r="K2" s="10" t="str">
        <f t="array" ref="K2:K35">RIGHT(A2:A35,2)</f>
        <v>US</v>
      </c>
      <c r="L2" s="10" t="str">
        <f t="array" ref="L2:L35">MID(A2:A35,4,3)</f>
        <v>JAN</v>
      </c>
    </row>
    <row r="3" ht="15.75" customHeight="1">
      <c r="A3" s="11" t="s">
        <v>31</v>
      </c>
      <c r="B3" s="11" t="s">
        <v>32</v>
      </c>
      <c r="C3" s="11" t="s">
        <v>33</v>
      </c>
      <c r="D3" s="11">
        <v>80.0</v>
      </c>
      <c r="E3" s="11">
        <v>15.0</v>
      </c>
      <c r="F3" s="11" t="s">
        <v>34</v>
      </c>
      <c r="G3" s="9" t="str">
        <f t="shared" si="1"/>
        <v>Standard Price</v>
      </c>
      <c r="H3" s="8"/>
      <c r="J3" s="10" t="s">
        <v>35</v>
      </c>
      <c r="K3" s="10" t="s">
        <v>36</v>
      </c>
      <c r="L3" s="10" t="s">
        <v>37</v>
      </c>
    </row>
    <row r="4" ht="15.75" customHeight="1">
      <c r="A4" s="8" t="s">
        <v>38</v>
      </c>
      <c r="B4" s="8" t="s">
        <v>39</v>
      </c>
      <c r="C4" s="8" t="s">
        <v>40</v>
      </c>
      <c r="D4" s="8">
        <v>130.0</v>
      </c>
      <c r="E4" s="8">
        <v>40.0</v>
      </c>
      <c r="F4" s="8" t="s">
        <v>41</v>
      </c>
      <c r="G4" s="9" t="str">
        <f t="shared" si="1"/>
        <v>Standard Price</v>
      </c>
      <c r="H4" s="8"/>
      <c r="I4" s="6" t="s">
        <v>42</v>
      </c>
      <c r="J4" s="10" t="s">
        <v>43</v>
      </c>
      <c r="K4" s="10" t="s">
        <v>36</v>
      </c>
      <c r="L4" s="10" t="s">
        <v>44</v>
      </c>
    </row>
    <row r="5" ht="15.75" customHeight="1">
      <c r="A5" s="11" t="s">
        <v>45</v>
      </c>
      <c r="B5" s="11" t="s">
        <v>46</v>
      </c>
      <c r="C5" s="11" t="s">
        <v>47</v>
      </c>
      <c r="D5" s="11">
        <v>900.0</v>
      </c>
      <c r="E5" s="11">
        <v>25.0</v>
      </c>
      <c r="F5" s="11" t="s">
        <v>30</v>
      </c>
      <c r="G5" s="9" t="str">
        <f t="shared" si="1"/>
        <v>High Price</v>
      </c>
      <c r="H5" s="8"/>
      <c r="I5" s="12">
        <f>SUM(D2:D35)</f>
        <v>10100</v>
      </c>
      <c r="J5" s="10" t="s">
        <v>48</v>
      </c>
      <c r="K5" s="10" t="s">
        <v>36</v>
      </c>
      <c r="L5" s="10" t="s">
        <v>49</v>
      </c>
    </row>
    <row r="6" ht="15.75" customHeight="1">
      <c r="A6" s="8" t="s">
        <v>50</v>
      </c>
      <c r="B6" s="8" t="s">
        <v>51</v>
      </c>
      <c r="C6" s="8" t="s">
        <v>52</v>
      </c>
      <c r="D6" s="8">
        <v>70.0</v>
      </c>
      <c r="E6" s="8">
        <v>20.0</v>
      </c>
      <c r="F6" s="8" t="s">
        <v>53</v>
      </c>
      <c r="G6" s="9" t="str">
        <f t="shared" si="1"/>
        <v>Standard Price</v>
      </c>
      <c r="H6" s="8"/>
      <c r="I6" s="6" t="s">
        <v>54</v>
      </c>
      <c r="J6" s="10" t="s">
        <v>55</v>
      </c>
      <c r="K6" s="10" t="s">
        <v>36</v>
      </c>
      <c r="L6" s="10" t="s">
        <v>56</v>
      </c>
    </row>
    <row r="7" ht="15.75" customHeight="1">
      <c r="A7" s="11" t="s">
        <v>57</v>
      </c>
      <c r="B7" s="11" t="s">
        <v>58</v>
      </c>
      <c r="C7" s="11" t="s">
        <v>59</v>
      </c>
      <c r="D7" s="11">
        <v>200.0</v>
      </c>
      <c r="E7" s="11">
        <v>45.0</v>
      </c>
      <c r="F7" s="11" t="s">
        <v>30</v>
      </c>
      <c r="G7" s="9" t="str">
        <f t="shared" si="1"/>
        <v>Standard Price</v>
      </c>
      <c r="H7" s="8"/>
      <c r="I7" s="9">
        <f>COUNT(E2:E35)</f>
        <v>34</v>
      </c>
      <c r="J7" s="10" t="s">
        <v>60</v>
      </c>
      <c r="K7" s="10" t="s">
        <v>61</v>
      </c>
      <c r="L7" s="10" t="s">
        <v>62</v>
      </c>
    </row>
    <row r="8" ht="15.75" customHeight="1">
      <c r="A8" s="8" t="s">
        <v>63</v>
      </c>
      <c r="B8" s="8" t="s">
        <v>64</v>
      </c>
      <c r="C8" s="8" t="s">
        <v>65</v>
      </c>
      <c r="D8" s="8">
        <v>30.0</v>
      </c>
      <c r="E8" s="8">
        <v>5.0</v>
      </c>
      <c r="F8" s="8" t="s">
        <v>34</v>
      </c>
      <c r="G8" s="9" t="str">
        <f t="shared" si="1"/>
        <v>Standard Price</v>
      </c>
      <c r="H8" s="8"/>
      <c r="I8" s="6" t="s">
        <v>66</v>
      </c>
      <c r="J8" s="10" t="s">
        <v>67</v>
      </c>
      <c r="K8" s="10" t="s">
        <v>61</v>
      </c>
      <c r="L8" s="10" t="s">
        <v>68</v>
      </c>
    </row>
    <row r="9" ht="15.75" customHeight="1">
      <c r="A9" s="11" t="s">
        <v>69</v>
      </c>
      <c r="B9" s="11" t="s">
        <v>70</v>
      </c>
      <c r="C9" s="11" t="s">
        <v>71</v>
      </c>
      <c r="D9" s="11">
        <v>90.0</v>
      </c>
      <c r="E9" s="11">
        <v>35.0</v>
      </c>
      <c r="F9" s="11" t="s">
        <v>41</v>
      </c>
      <c r="G9" s="9" t="str">
        <f t="shared" si="1"/>
        <v>Standard Price</v>
      </c>
      <c r="H9" s="8"/>
      <c r="I9" s="13">
        <f>AVERAGE(D2:D35)</f>
        <v>297.0588235</v>
      </c>
      <c r="J9" s="10" t="s">
        <v>72</v>
      </c>
      <c r="K9" s="10" t="s">
        <v>61</v>
      </c>
      <c r="L9" s="10" t="s">
        <v>73</v>
      </c>
    </row>
    <row r="10" ht="15.75" customHeight="1">
      <c r="A10" s="8" t="s">
        <v>74</v>
      </c>
      <c r="B10" s="8" t="s">
        <v>75</v>
      </c>
      <c r="C10" s="8" t="s">
        <v>76</v>
      </c>
      <c r="D10" s="8">
        <v>500.0</v>
      </c>
      <c r="E10" s="8">
        <v>50.0</v>
      </c>
      <c r="F10" s="8" t="s">
        <v>30</v>
      </c>
      <c r="G10" s="9" t="str">
        <f t="shared" si="1"/>
        <v>High Price</v>
      </c>
      <c r="H10" s="8"/>
      <c r="I10" s="6" t="s">
        <v>77</v>
      </c>
      <c r="J10" s="10" t="s">
        <v>78</v>
      </c>
      <c r="K10" s="10" t="s">
        <v>61</v>
      </c>
      <c r="L10" s="10" t="s">
        <v>79</v>
      </c>
    </row>
    <row r="11" ht="15.75" customHeight="1">
      <c r="A11" s="11" t="s">
        <v>80</v>
      </c>
      <c r="B11" s="11" t="s">
        <v>81</v>
      </c>
      <c r="C11" s="11" t="s">
        <v>82</v>
      </c>
      <c r="D11" s="11">
        <v>130.0</v>
      </c>
      <c r="E11" s="11">
        <v>10.0</v>
      </c>
      <c r="F11" s="11" t="s">
        <v>53</v>
      </c>
      <c r="G11" s="9" t="str">
        <f t="shared" si="1"/>
        <v>Standard Price</v>
      </c>
      <c r="H11" s="8"/>
      <c r="I11" s="13">
        <f>MIN(D2:D35)</f>
        <v>30</v>
      </c>
      <c r="J11" s="10" t="s">
        <v>83</v>
      </c>
      <c r="K11" s="10" t="s">
        <v>61</v>
      </c>
      <c r="L11" s="10" t="s">
        <v>84</v>
      </c>
    </row>
    <row r="12" ht="15.75" customHeight="1">
      <c r="A12" s="8" t="s">
        <v>85</v>
      </c>
      <c r="B12" s="8" t="s">
        <v>28</v>
      </c>
      <c r="C12" s="8" t="s">
        <v>86</v>
      </c>
      <c r="D12" s="8">
        <v>950.0</v>
      </c>
      <c r="E12" s="8">
        <v>25.0</v>
      </c>
      <c r="F12" s="8" t="s">
        <v>30</v>
      </c>
      <c r="G12" s="9" t="str">
        <f t="shared" si="1"/>
        <v>High Price</v>
      </c>
      <c r="H12" s="8"/>
      <c r="I12" s="6" t="s">
        <v>87</v>
      </c>
      <c r="J12" s="10" t="s">
        <v>88</v>
      </c>
      <c r="K12" s="10" t="s">
        <v>89</v>
      </c>
      <c r="L12" s="10" t="s">
        <v>62</v>
      </c>
    </row>
    <row r="13" ht="15.75" customHeight="1">
      <c r="A13" s="11" t="s">
        <v>90</v>
      </c>
      <c r="B13" s="11" t="s">
        <v>32</v>
      </c>
      <c r="C13" s="11" t="s">
        <v>65</v>
      </c>
      <c r="D13" s="11">
        <v>90.0</v>
      </c>
      <c r="E13" s="11">
        <v>40.0</v>
      </c>
      <c r="F13" s="11" t="s">
        <v>34</v>
      </c>
      <c r="G13" s="9" t="str">
        <f t="shared" si="1"/>
        <v>Standard Price</v>
      </c>
      <c r="H13" s="8"/>
      <c r="I13" s="13">
        <f>MAX(D2:D35)</f>
        <v>1000</v>
      </c>
      <c r="J13" s="10" t="s">
        <v>91</v>
      </c>
      <c r="K13" s="10" t="s">
        <v>92</v>
      </c>
      <c r="L13" s="10" t="s">
        <v>93</v>
      </c>
    </row>
    <row r="14" ht="15.75" customHeight="1">
      <c r="A14" s="8" t="s">
        <v>94</v>
      </c>
      <c r="B14" s="8" t="s">
        <v>39</v>
      </c>
      <c r="C14" s="8" t="s">
        <v>95</v>
      </c>
      <c r="D14" s="8">
        <v>120.0</v>
      </c>
      <c r="E14" s="8">
        <v>35.0</v>
      </c>
      <c r="F14" s="8" t="s">
        <v>41</v>
      </c>
      <c r="G14" s="9" t="str">
        <f t="shared" si="1"/>
        <v>Standard Price</v>
      </c>
      <c r="H14" s="8"/>
      <c r="I14" s="6" t="s">
        <v>96</v>
      </c>
      <c r="J14" s="10" t="s">
        <v>97</v>
      </c>
      <c r="K14" s="10" t="s">
        <v>98</v>
      </c>
      <c r="L14" s="10" t="s">
        <v>99</v>
      </c>
    </row>
    <row r="15" ht="15.75" customHeight="1">
      <c r="A15" s="11" t="s">
        <v>100</v>
      </c>
      <c r="B15" s="11" t="s">
        <v>101</v>
      </c>
      <c r="C15" s="11" t="s">
        <v>102</v>
      </c>
      <c r="D15" s="11">
        <v>150.0</v>
      </c>
      <c r="E15" s="11">
        <v>15.0</v>
      </c>
      <c r="F15" s="11" t="s">
        <v>30</v>
      </c>
      <c r="G15" s="9" t="str">
        <f t="shared" si="1"/>
        <v>Standard Price</v>
      </c>
      <c r="H15" s="8"/>
      <c r="I15" s="13">
        <f>SUMIF(A1:F35,F2,D2:D35)</f>
        <v>1030</v>
      </c>
      <c r="J15" s="10" t="s">
        <v>103</v>
      </c>
      <c r="K15" s="10" t="s">
        <v>104</v>
      </c>
      <c r="L15" s="10" t="s">
        <v>37</v>
      </c>
    </row>
    <row r="16" ht="15.75" customHeight="1">
      <c r="A16" s="8" t="s">
        <v>105</v>
      </c>
      <c r="B16" s="8" t="s">
        <v>58</v>
      </c>
      <c r="C16" s="8" t="s">
        <v>106</v>
      </c>
      <c r="D16" s="8">
        <v>250.0</v>
      </c>
      <c r="E16" s="8">
        <v>20.0</v>
      </c>
      <c r="F16" s="8" t="s">
        <v>30</v>
      </c>
      <c r="G16" s="9" t="str">
        <f t="shared" si="1"/>
        <v>Standard Price</v>
      </c>
      <c r="H16" s="8"/>
      <c r="J16" s="10" t="s">
        <v>107</v>
      </c>
      <c r="K16" s="10" t="s">
        <v>108</v>
      </c>
      <c r="L16" s="10" t="s">
        <v>49</v>
      </c>
    </row>
    <row r="17" ht="15.75" customHeight="1">
      <c r="A17" s="11" t="s">
        <v>109</v>
      </c>
      <c r="B17" s="11" t="s">
        <v>110</v>
      </c>
      <c r="C17" s="11" t="s">
        <v>111</v>
      </c>
      <c r="D17" s="11">
        <v>50.0</v>
      </c>
      <c r="E17" s="11">
        <v>35.0</v>
      </c>
      <c r="F17" s="11" t="s">
        <v>112</v>
      </c>
      <c r="G17" s="9" t="str">
        <f t="shared" si="1"/>
        <v>Standard Price</v>
      </c>
      <c r="H17" s="8"/>
      <c r="J17" s="10" t="s">
        <v>113</v>
      </c>
      <c r="K17" s="10" t="s">
        <v>104</v>
      </c>
      <c r="L17" s="10" t="s">
        <v>73</v>
      </c>
    </row>
    <row r="18" ht="15.75" customHeight="1">
      <c r="A18" s="8" t="s">
        <v>114</v>
      </c>
      <c r="B18" s="8" t="s">
        <v>101</v>
      </c>
      <c r="C18" s="8" t="s">
        <v>115</v>
      </c>
      <c r="D18" s="8">
        <v>160.0</v>
      </c>
      <c r="E18" s="8">
        <v>15.0</v>
      </c>
      <c r="F18" s="8" t="s">
        <v>30</v>
      </c>
      <c r="G18" s="9" t="str">
        <f t="shared" si="1"/>
        <v>Standard Price</v>
      </c>
      <c r="H18" s="8"/>
      <c r="J18" s="10" t="s">
        <v>116</v>
      </c>
      <c r="K18" s="10" t="s">
        <v>117</v>
      </c>
      <c r="L18" s="10" t="s">
        <v>73</v>
      </c>
    </row>
    <row r="19" ht="15.75" customHeight="1">
      <c r="A19" s="11" t="s">
        <v>118</v>
      </c>
      <c r="B19" s="11" t="s">
        <v>28</v>
      </c>
      <c r="C19" s="11" t="s">
        <v>119</v>
      </c>
      <c r="D19" s="11">
        <v>980.0</v>
      </c>
      <c r="E19" s="11">
        <v>10.0</v>
      </c>
      <c r="F19" s="11" t="s">
        <v>30</v>
      </c>
      <c r="G19" s="9" t="str">
        <f t="shared" si="1"/>
        <v>High Price</v>
      </c>
      <c r="H19" s="8"/>
      <c r="J19" s="10" t="s">
        <v>120</v>
      </c>
      <c r="K19" s="10" t="s">
        <v>121</v>
      </c>
      <c r="L19" s="10" t="s">
        <v>122</v>
      </c>
    </row>
    <row r="20" ht="15.75" customHeight="1">
      <c r="A20" s="8" t="s">
        <v>123</v>
      </c>
      <c r="B20" s="8" t="s">
        <v>124</v>
      </c>
      <c r="C20" s="8" t="s">
        <v>125</v>
      </c>
      <c r="D20" s="8">
        <v>150.0</v>
      </c>
      <c r="E20" s="8">
        <v>15.0</v>
      </c>
      <c r="F20" s="8" t="s">
        <v>34</v>
      </c>
      <c r="G20" s="9" t="str">
        <f t="shared" si="1"/>
        <v>Standard Price</v>
      </c>
      <c r="H20" s="8"/>
      <c r="J20" s="10" t="s">
        <v>126</v>
      </c>
      <c r="K20" s="10" t="s">
        <v>61</v>
      </c>
      <c r="L20" s="10" t="s">
        <v>44</v>
      </c>
    </row>
    <row r="21" ht="15.75" customHeight="1">
      <c r="A21" s="11" t="s">
        <v>127</v>
      </c>
      <c r="B21" s="11" t="s">
        <v>128</v>
      </c>
      <c r="C21" s="11" t="s">
        <v>129</v>
      </c>
      <c r="D21" s="11">
        <v>200.0</v>
      </c>
      <c r="E21" s="11">
        <v>10.0</v>
      </c>
      <c r="F21" s="11" t="s">
        <v>53</v>
      </c>
      <c r="G21" s="9" t="str">
        <f t="shared" si="1"/>
        <v>Standard Price</v>
      </c>
      <c r="H21" s="8"/>
      <c r="J21" s="10" t="s">
        <v>83</v>
      </c>
      <c r="K21" s="10" t="s">
        <v>36</v>
      </c>
      <c r="L21" s="10" t="s">
        <v>73</v>
      </c>
    </row>
    <row r="22" ht="15.75" customHeight="1">
      <c r="A22" s="8" t="s">
        <v>130</v>
      </c>
      <c r="B22" s="8" t="s">
        <v>131</v>
      </c>
      <c r="C22" s="8" t="s">
        <v>132</v>
      </c>
      <c r="D22" s="8">
        <v>700.0</v>
      </c>
      <c r="E22" s="8">
        <v>50.0</v>
      </c>
      <c r="F22" s="8" t="s">
        <v>30</v>
      </c>
      <c r="G22" s="9" t="str">
        <f t="shared" si="1"/>
        <v>High Price</v>
      </c>
      <c r="H22" s="8"/>
      <c r="J22" s="10" t="s">
        <v>83</v>
      </c>
      <c r="K22" s="10" t="s">
        <v>133</v>
      </c>
      <c r="L22" s="10" t="s">
        <v>56</v>
      </c>
    </row>
    <row r="23" ht="15.75" customHeight="1">
      <c r="A23" s="11" t="s">
        <v>134</v>
      </c>
      <c r="B23" s="11" t="s">
        <v>135</v>
      </c>
      <c r="C23" s="11" t="s">
        <v>136</v>
      </c>
      <c r="D23" s="11">
        <v>80.0</v>
      </c>
      <c r="E23" s="11">
        <v>20.0</v>
      </c>
      <c r="F23" s="11" t="s">
        <v>41</v>
      </c>
      <c r="G23" s="9" t="str">
        <f t="shared" si="1"/>
        <v>Standard Price</v>
      </c>
      <c r="H23" s="8"/>
      <c r="J23" s="10" t="s">
        <v>137</v>
      </c>
      <c r="K23" s="10" t="s">
        <v>104</v>
      </c>
      <c r="L23" s="10" t="s">
        <v>122</v>
      </c>
    </row>
    <row r="24" ht="15.75" customHeight="1">
      <c r="A24" s="8" t="s">
        <v>138</v>
      </c>
      <c r="B24" s="8" t="s">
        <v>139</v>
      </c>
      <c r="C24" s="8" t="s">
        <v>140</v>
      </c>
      <c r="D24" s="8">
        <v>150.0</v>
      </c>
      <c r="E24" s="8">
        <v>30.0</v>
      </c>
      <c r="F24" s="8" t="s">
        <v>30</v>
      </c>
      <c r="G24" s="9" t="str">
        <f t="shared" si="1"/>
        <v>Standard Price</v>
      </c>
      <c r="H24" s="8"/>
      <c r="J24" s="10" t="s">
        <v>67</v>
      </c>
      <c r="K24" s="10" t="s">
        <v>141</v>
      </c>
      <c r="L24" s="10" t="s">
        <v>68</v>
      </c>
    </row>
    <row r="25" ht="15.75" customHeight="1">
      <c r="A25" s="11" t="s">
        <v>109</v>
      </c>
      <c r="B25" s="11" t="s">
        <v>110</v>
      </c>
      <c r="C25" s="11" t="s">
        <v>111</v>
      </c>
      <c r="D25" s="11">
        <v>50.0</v>
      </c>
      <c r="E25" s="11">
        <v>35.0</v>
      </c>
      <c r="F25" s="11" t="s">
        <v>112</v>
      </c>
      <c r="G25" s="9" t="str">
        <f t="shared" si="1"/>
        <v>Standard Price</v>
      </c>
      <c r="H25" s="14"/>
      <c r="J25" s="10" t="s">
        <v>113</v>
      </c>
      <c r="K25" s="10" t="s">
        <v>104</v>
      </c>
      <c r="L25" s="10" t="s">
        <v>73</v>
      </c>
    </row>
    <row r="26" ht="15.75" customHeight="1">
      <c r="A26" s="8" t="s">
        <v>142</v>
      </c>
      <c r="B26" s="8" t="s">
        <v>46</v>
      </c>
      <c r="C26" s="8" t="s">
        <v>143</v>
      </c>
      <c r="D26" s="8">
        <v>800.0</v>
      </c>
      <c r="E26" s="8">
        <v>45.0</v>
      </c>
      <c r="F26" s="8" t="s">
        <v>30</v>
      </c>
      <c r="G26" s="9" t="str">
        <f t="shared" si="1"/>
        <v>High Price</v>
      </c>
      <c r="H26" s="8"/>
      <c r="J26" s="10" t="s">
        <v>144</v>
      </c>
      <c r="K26" s="10" t="s">
        <v>104</v>
      </c>
      <c r="L26" s="10" t="s">
        <v>79</v>
      </c>
    </row>
    <row r="27" ht="15.75" customHeight="1">
      <c r="A27" s="11" t="s">
        <v>145</v>
      </c>
      <c r="B27" s="11" t="s">
        <v>124</v>
      </c>
      <c r="C27" s="11" t="s">
        <v>146</v>
      </c>
      <c r="D27" s="11">
        <v>130.0</v>
      </c>
      <c r="E27" s="11">
        <v>25.0</v>
      </c>
      <c r="F27" s="11" t="s">
        <v>34</v>
      </c>
      <c r="G27" s="9" t="str">
        <f t="shared" si="1"/>
        <v>Standard Price</v>
      </c>
      <c r="H27" s="8"/>
      <c r="J27" s="10" t="s">
        <v>43</v>
      </c>
      <c r="K27" s="10" t="s">
        <v>104</v>
      </c>
      <c r="L27" s="10" t="s">
        <v>62</v>
      </c>
    </row>
    <row r="28" ht="15.75" customHeight="1">
      <c r="A28" s="8" t="s">
        <v>147</v>
      </c>
      <c r="B28" s="8" t="s">
        <v>70</v>
      </c>
      <c r="C28" s="8" t="s">
        <v>148</v>
      </c>
      <c r="D28" s="8">
        <v>400.0</v>
      </c>
      <c r="E28" s="8">
        <v>40.0</v>
      </c>
      <c r="F28" s="8" t="s">
        <v>41</v>
      </c>
      <c r="G28" s="9" t="str">
        <f t="shared" si="1"/>
        <v>Standard Price</v>
      </c>
      <c r="H28" s="8"/>
      <c r="J28" s="10" t="s">
        <v>48</v>
      </c>
      <c r="K28" s="10" t="s">
        <v>104</v>
      </c>
      <c r="L28" s="10" t="s">
        <v>68</v>
      </c>
    </row>
    <row r="29" ht="15.75" customHeight="1">
      <c r="A29" s="11" t="s">
        <v>105</v>
      </c>
      <c r="B29" s="11" t="s">
        <v>58</v>
      </c>
      <c r="C29" s="11" t="s">
        <v>106</v>
      </c>
      <c r="D29" s="11">
        <v>230.0</v>
      </c>
      <c r="E29" s="11">
        <v>20.0</v>
      </c>
      <c r="F29" s="11" t="s">
        <v>30</v>
      </c>
      <c r="G29" s="9" t="str">
        <f t="shared" si="1"/>
        <v>Standard Price</v>
      </c>
      <c r="H29" s="14"/>
      <c r="J29" s="10" t="s">
        <v>107</v>
      </c>
      <c r="K29" s="10" t="s">
        <v>108</v>
      </c>
      <c r="L29" s="10" t="s">
        <v>49</v>
      </c>
    </row>
    <row r="30" ht="15.75" customHeight="1">
      <c r="A30" s="8" t="s">
        <v>149</v>
      </c>
      <c r="B30" s="8" t="s">
        <v>150</v>
      </c>
      <c r="C30" s="8" t="s">
        <v>151</v>
      </c>
      <c r="D30" s="8">
        <v>60.0</v>
      </c>
      <c r="E30" s="8">
        <v>30.0</v>
      </c>
      <c r="F30" s="8" t="s">
        <v>34</v>
      </c>
      <c r="G30" s="9" t="str">
        <f t="shared" si="1"/>
        <v>Standard Price</v>
      </c>
      <c r="H30" s="8"/>
      <c r="J30" s="10" t="s">
        <v>60</v>
      </c>
      <c r="K30" s="10" t="s">
        <v>104</v>
      </c>
      <c r="L30" s="10" t="s">
        <v>44</v>
      </c>
    </row>
    <row r="31" ht="15.75" customHeight="1">
      <c r="A31" s="11" t="s">
        <v>152</v>
      </c>
      <c r="B31" s="11" t="s">
        <v>153</v>
      </c>
      <c r="C31" s="11" t="s">
        <v>154</v>
      </c>
      <c r="D31" s="11">
        <v>40.0</v>
      </c>
      <c r="E31" s="11">
        <v>10.0</v>
      </c>
      <c r="F31" s="11" t="s">
        <v>41</v>
      </c>
      <c r="G31" s="9" t="str">
        <f t="shared" si="1"/>
        <v>Standard Price</v>
      </c>
      <c r="H31" s="8"/>
      <c r="J31" s="10" t="s">
        <v>155</v>
      </c>
      <c r="K31" s="10" t="s">
        <v>104</v>
      </c>
      <c r="L31" s="10" t="s">
        <v>49</v>
      </c>
    </row>
    <row r="32" ht="15.75" customHeight="1">
      <c r="A32" s="8" t="s">
        <v>156</v>
      </c>
      <c r="B32" s="8" t="s">
        <v>139</v>
      </c>
      <c r="C32" s="8" t="s">
        <v>157</v>
      </c>
      <c r="D32" s="8">
        <v>130.0</v>
      </c>
      <c r="E32" s="8">
        <v>5.0</v>
      </c>
      <c r="F32" s="8" t="s">
        <v>30</v>
      </c>
      <c r="G32" s="9" t="str">
        <f t="shared" si="1"/>
        <v>Standard Price</v>
      </c>
      <c r="H32" s="8"/>
      <c r="J32" s="10" t="s">
        <v>158</v>
      </c>
      <c r="K32" s="10" t="s">
        <v>104</v>
      </c>
      <c r="L32" s="10" t="s">
        <v>56</v>
      </c>
    </row>
    <row r="33" ht="15.75" customHeight="1">
      <c r="A33" s="11" t="s">
        <v>159</v>
      </c>
      <c r="B33" s="11" t="s">
        <v>160</v>
      </c>
      <c r="C33" s="11" t="s">
        <v>161</v>
      </c>
      <c r="D33" s="11">
        <v>50.0</v>
      </c>
      <c r="E33" s="11">
        <v>50.0</v>
      </c>
      <c r="F33" s="11" t="s">
        <v>34</v>
      </c>
      <c r="G33" s="9" t="str">
        <f t="shared" si="1"/>
        <v>Standard Price</v>
      </c>
      <c r="H33" s="8"/>
      <c r="J33" s="10" t="s">
        <v>162</v>
      </c>
      <c r="K33" s="10" t="s">
        <v>104</v>
      </c>
      <c r="L33" s="10" t="s">
        <v>99</v>
      </c>
    </row>
    <row r="34" ht="15.75" customHeight="1">
      <c r="A34" s="8" t="s">
        <v>85</v>
      </c>
      <c r="B34" s="8" t="s">
        <v>28</v>
      </c>
      <c r="C34" s="8" t="s">
        <v>86</v>
      </c>
      <c r="D34" s="8">
        <v>950.0</v>
      </c>
      <c r="E34" s="8">
        <v>25.0</v>
      </c>
      <c r="F34" s="8" t="s">
        <v>30</v>
      </c>
      <c r="G34" s="9" t="str">
        <f t="shared" si="1"/>
        <v>High Price</v>
      </c>
      <c r="H34" s="8"/>
      <c r="J34" s="10" t="s">
        <v>88</v>
      </c>
      <c r="K34" s="10" t="s">
        <v>89</v>
      </c>
      <c r="L34" s="10" t="s">
        <v>62</v>
      </c>
    </row>
    <row r="35" ht="15.75" customHeight="1">
      <c r="A35" s="11" t="s">
        <v>163</v>
      </c>
      <c r="B35" s="11" t="s">
        <v>164</v>
      </c>
      <c r="C35" s="11" t="s">
        <v>165</v>
      </c>
      <c r="D35" s="11">
        <v>100.0</v>
      </c>
      <c r="E35" s="11">
        <v>20.0</v>
      </c>
      <c r="F35" s="11" t="s">
        <v>112</v>
      </c>
      <c r="G35" s="9" t="str">
        <f t="shared" si="1"/>
        <v>Standard Price</v>
      </c>
      <c r="H35" s="8"/>
      <c r="J35" s="10" t="s">
        <v>137</v>
      </c>
      <c r="K35" s="10" t="s">
        <v>166</v>
      </c>
      <c r="L35" s="10" t="s">
        <v>68</v>
      </c>
    </row>
    <row r="36" ht="15.75" customHeight="1"/>
    <row r="37" ht="15.75" customHeight="1">
      <c r="D37" s="6" t="s">
        <v>167</v>
      </c>
    </row>
    <row r="38" ht="15.75" customHeight="1">
      <c r="D38" s="13">
        <f>COUNTIF(D1:D35,"&lt;=100")</f>
        <v>12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